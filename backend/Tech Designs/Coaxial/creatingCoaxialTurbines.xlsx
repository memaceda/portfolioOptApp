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maceda\technoEcon\Data\Vinson-Coax\"/>
    </mc:Choice>
  </mc:AlternateContent>
  <xr:revisionPtr revIDLastSave="0" documentId="13_ncr:1_{041B6D85-2ECA-44E2-A938-4DBF1A737753}" xr6:coauthVersionLast="47" xr6:coauthVersionMax="47" xr10:uidLastSave="{00000000-0000-0000-0000-000000000000}"/>
  <bookViews>
    <workbookView xWindow="-120" yWindow="-120" windowWidth="29040" windowHeight="15840" xr2:uid="{0766C374-77A8-4DDC-8213-D9FF81F1C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4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5" i="1"/>
  <c r="B5" i="1" s="1"/>
  <c r="D5" i="1" s="1"/>
  <c r="C6" i="1"/>
  <c r="B6" i="1" s="1"/>
  <c r="C7" i="1"/>
  <c r="C8" i="1"/>
  <c r="C9" i="1"/>
  <c r="B9" i="1" s="1"/>
  <c r="C10" i="1"/>
  <c r="C11" i="1"/>
  <c r="C12" i="1"/>
  <c r="B12" i="1" s="1"/>
  <c r="C13" i="1"/>
  <c r="C14" i="1"/>
  <c r="C15" i="1"/>
  <c r="C16" i="1"/>
  <c r="C17" i="1"/>
  <c r="C18" i="1"/>
  <c r="C19" i="1"/>
  <c r="C20" i="1"/>
  <c r="C21" i="1"/>
  <c r="B7" i="1"/>
  <c r="B8" i="1"/>
  <c r="B10" i="1"/>
  <c r="B11" i="1"/>
  <c r="B13" i="1"/>
  <c r="B14" i="1"/>
  <c r="B15" i="1"/>
  <c r="B16" i="1"/>
  <c r="B17" i="1"/>
  <c r="B18" i="1"/>
  <c r="B19" i="1"/>
  <c r="B20" i="1"/>
  <c r="B21" i="1"/>
  <c r="D4" i="1"/>
  <c r="B4" i="1"/>
  <c r="C4" i="1"/>
  <c r="L6" i="1" l="1"/>
  <c r="D6" i="1"/>
</calcChain>
</file>

<file path=xl/sharedStrings.xml><?xml version="1.0" encoding="utf-8"?>
<sst xmlns="http://schemas.openxmlformats.org/spreadsheetml/2006/main" count="34" uniqueCount="29">
  <si>
    <t>Non-Dim Turbine Separation Distance d/D</t>
  </si>
  <si>
    <t>Cp</t>
  </si>
  <si>
    <t>Rated Power</t>
  </si>
  <si>
    <t>Rho</t>
  </si>
  <si>
    <t>Constants</t>
  </si>
  <si>
    <t>Rated Flow Speed</t>
  </si>
  <si>
    <t>*Assume operation at optimal wake fraction, axial induction factors</t>
  </si>
  <si>
    <t>*Assume depth does not affect power output (not completely unreasonable for a coaxial turbine; no tether drag))</t>
  </si>
  <si>
    <t>Rotor Diameter</t>
  </si>
  <si>
    <t>Turbine Spacing</t>
  </si>
  <si>
    <t>Optimal Yaw Angle</t>
  </si>
  <si>
    <t>User Define</t>
  </si>
  <si>
    <t>Rotor Area</t>
  </si>
  <si>
    <t>Will give optimal cp</t>
  </si>
  <si>
    <t>For Cp of this size, solve for rotor area</t>
  </si>
  <si>
    <t>kw</t>
  </si>
  <si>
    <t>m/s</t>
  </si>
  <si>
    <t>Make sure this is reasonable</t>
  </si>
  <si>
    <t>Should be making more power than wind turbine at same size</t>
  </si>
  <si>
    <t>No bigger than wind turbine!</t>
  </si>
  <si>
    <t>Want designs below 0.593 line</t>
  </si>
  <si>
    <t>This gets solved for based on rated flow speed, rated power, and cp</t>
  </si>
  <si>
    <t>NOTE THAT THIS IS THE ROTOR RADIUS</t>
  </si>
  <si>
    <t>From Plot</t>
  </si>
  <si>
    <t>OpEx</t>
  </si>
  <si>
    <t>CapEx</t>
  </si>
  <si>
    <t>$/kWh</t>
  </si>
  <si>
    <t>$/kWh x 10</t>
  </si>
  <si>
    <t>Rotor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</si>
</sst>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3" fillId="4" borderId="1" xfId="3" applyBorder="1"/>
    <xf numFmtId="0" fontId="2" fillId="3" borderId="1" xfId="2" applyBorder="1"/>
    <xf numFmtId="0" fontId="2" fillId="3" borderId="0" xfId="2"/>
    <xf numFmtId="0" fontId="4" fillId="0" borderId="1" xfId="0" applyFont="1" applyBorder="1"/>
    <xf numFmtId="0" fontId="0" fillId="0" borderId="2" xfId="0" applyFill="1" applyBorder="1"/>
    <xf numFmtId="0" fontId="4" fillId="0" borderId="1" xfId="0" applyFont="1" applyFill="1" applyBorder="1"/>
    <xf numFmtId="0" fontId="1" fillId="2" borderId="1" xfId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2171700</xdr:colOff>
      <xdr:row>9</xdr:row>
      <xdr:rowOff>104775</xdr:rowOff>
    </xdr:from>
    <xdr:to>
      <xdr:col>20</xdr:col>
      <xdr:colOff>48340</xdr:colOff>
      <xdr:row>29</xdr:row>
      <xdr:rowOff>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F01E4-D9BF-2F8B-420B-D47382509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0300" y="1819275"/>
          <a:ext cx="5125165" cy="3705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114299</xdr:rowOff>
    </xdr:from>
    <xdr:to>
      <xdr:col>3</xdr:col>
      <xdr:colOff>1369856</xdr:colOff>
      <xdr:row>45</xdr:row>
      <xdr:rowOff>155818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3750-C53D-4C85-953D-A6FBE6FAB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4876799"/>
          <a:ext cx="7170581" cy="38515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8</xdr:col>
      <xdr:colOff>467758</xdr:colOff>
      <xdr:row>55</xdr:row>
      <xdr:rowOff>181771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639714-30B3-EC0D-B962-A4E2A20A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82125" y="4953000"/>
          <a:ext cx="7401958" cy="5706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8887-D040-44D0-9925-BC5D643623FF}">
  <dimension ref="A1:Q25"/>
  <sheetViews>
    <sheetView tabSelected="1" workbookViewId="0">
      <selection activeCell="E26" sqref="E26"/>
    </sheetView>
  </sheetViews>
  <sheetFormatPr defaultRowHeight="15" x14ac:dyDescent="0.25"/>
  <cols>
    <col min="1" max="1" width="13.140625" customWidth="1"/>
    <col min="2" max="2" width="27.5703125" customWidth="1"/>
    <col min="3" max="3" width="59.42578125" customWidth="1"/>
    <col min="4" max="5" width="40.5703125" customWidth="1"/>
    <col min="6" max="6" width="23.85546875" customWidth="1"/>
    <col min="7" max="7" width="16.5703125" customWidth="1"/>
    <col min="8" max="8" width="23" customWidth="1"/>
    <col min="9" max="9" width="12.5703125" customWidth="1"/>
    <col min="10" max="10" width="17.7109375" customWidth="1"/>
    <col min="11" max="11" width="14.140625" customWidth="1"/>
    <col min="12" max="12" width="35.5703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 t="s">
        <v>16</v>
      </c>
      <c r="I1" s="1" t="s">
        <v>15</v>
      </c>
      <c r="J1" s="1" t="s">
        <v>26</v>
      </c>
      <c r="K1" s="1" t="s">
        <v>27</v>
      </c>
      <c r="L1" s="1"/>
    </row>
    <row r="2" spans="1:17" x14ac:dyDescent="0.25">
      <c r="A2" s="6" t="s">
        <v>4</v>
      </c>
      <c r="B2" s="6" t="s">
        <v>8</v>
      </c>
      <c r="C2" s="6" t="s">
        <v>12</v>
      </c>
      <c r="D2" s="6" t="s">
        <v>9</v>
      </c>
      <c r="E2" s="6" t="s">
        <v>0</v>
      </c>
      <c r="F2" s="6" t="s">
        <v>10</v>
      </c>
      <c r="G2" s="6" t="s">
        <v>1</v>
      </c>
      <c r="H2" s="6" t="s">
        <v>5</v>
      </c>
      <c r="I2" s="6" t="s">
        <v>2</v>
      </c>
      <c r="J2" s="6" t="s">
        <v>25</v>
      </c>
      <c r="K2" s="8" t="s">
        <v>24</v>
      </c>
      <c r="L2" s="6" t="s">
        <v>28</v>
      </c>
      <c r="M2" s="7" t="s">
        <v>6</v>
      </c>
    </row>
    <row r="3" spans="1:17" x14ac:dyDescent="0.25">
      <c r="A3" s="1" t="s">
        <v>3</v>
      </c>
      <c r="B3" s="4" t="s">
        <v>17</v>
      </c>
      <c r="C3" t="s">
        <v>21</v>
      </c>
      <c r="D3" s="2"/>
      <c r="E3" s="9" t="s">
        <v>11</v>
      </c>
      <c r="F3" s="3" t="s">
        <v>23</v>
      </c>
      <c r="G3" s="3" t="s">
        <v>23</v>
      </c>
      <c r="H3" s="9" t="s">
        <v>11</v>
      </c>
      <c r="I3" s="9" t="s">
        <v>11</v>
      </c>
      <c r="J3" s="3" t="s">
        <v>23</v>
      </c>
      <c r="K3" s="3" t="s">
        <v>23</v>
      </c>
      <c r="L3" s="1"/>
      <c r="M3" t="s">
        <v>7</v>
      </c>
    </row>
    <row r="4" spans="1:17" x14ac:dyDescent="0.25">
      <c r="A4" s="1">
        <v>1000</v>
      </c>
      <c r="B4" s="1">
        <f>SQRT((4/PI())*C4)</f>
        <v>26.190080058297269</v>
      </c>
      <c r="C4" s="1">
        <f>(I4*1000)/((1/2)*$A$4*G4*(H4^3))</f>
        <v>538.72053872053868</v>
      </c>
      <c r="D4" s="1">
        <f>E4*B4</f>
        <v>52.380160116594539</v>
      </c>
      <c r="E4" s="1">
        <v>2</v>
      </c>
      <c r="F4" s="1">
        <v>13</v>
      </c>
      <c r="G4" s="1">
        <v>1.1000000000000001</v>
      </c>
      <c r="H4" s="1">
        <v>1.5</v>
      </c>
      <c r="I4" s="1">
        <v>1000</v>
      </c>
      <c r="J4" s="1">
        <v>0.35</v>
      </c>
      <c r="K4" s="1">
        <v>0.32500000000000001</v>
      </c>
      <c r="L4" s="1">
        <f>B4/2</f>
        <v>13.095040029148635</v>
      </c>
    </row>
    <row r="5" spans="1:17" x14ac:dyDescent="0.25">
      <c r="A5" s="1"/>
      <c r="B5" s="1">
        <f t="shared" ref="B5:B21" si="0">SQRT((4/PI())*C5)</f>
        <v>37.26913728886867</v>
      </c>
      <c r="C5" s="1">
        <f t="shared" ref="C5:C21" si="1">(I5*1000)/((1/2)*$A$4*G5*(H5^3))</f>
        <v>1090.909090909091</v>
      </c>
      <c r="D5" s="1">
        <f t="shared" ref="D5:D21" si="2">E5*B5</f>
        <v>74.53827457773734</v>
      </c>
      <c r="E5" s="1">
        <v>2</v>
      </c>
      <c r="F5" s="1">
        <v>13</v>
      </c>
      <c r="G5" s="1">
        <v>1.1000000000000001</v>
      </c>
      <c r="H5" s="1">
        <v>1</v>
      </c>
      <c r="I5" s="1">
        <v>600</v>
      </c>
      <c r="J5" s="1">
        <v>0.42499999999999999</v>
      </c>
      <c r="K5" s="1">
        <v>0.30499999999999999</v>
      </c>
      <c r="L5" s="1">
        <f t="shared" ref="L5:L21" si="3">B5/2</f>
        <v>18.634568644434335</v>
      </c>
    </row>
    <row r="6" spans="1:17" x14ac:dyDescent="0.25">
      <c r="A6" s="1"/>
      <c r="B6" s="1">
        <f t="shared" si="0"/>
        <v>96.228498698204135</v>
      </c>
      <c r="C6" s="1">
        <f t="shared" si="1"/>
        <v>7272.727272727273</v>
      </c>
      <c r="D6" s="4">
        <f t="shared" si="2"/>
        <v>192.45699739640827</v>
      </c>
      <c r="E6" s="1">
        <v>2</v>
      </c>
      <c r="F6" s="1">
        <v>13</v>
      </c>
      <c r="G6" s="1">
        <v>1.1000000000000001</v>
      </c>
      <c r="H6" s="1">
        <v>0.5</v>
      </c>
      <c r="I6" s="1">
        <v>500</v>
      </c>
      <c r="J6" s="1"/>
      <c r="K6" s="1"/>
      <c r="L6" s="1">
        <f t="shared" si="3"/>
        <v>48.114249349102067</v>
      </c>
    </row>
    <row r="7" spans="1:17" x14ac:dyDescent="0.25">
      <c r="A7" s="1"/>
      <c r="B7" s="1" t="e">
        <f t="shared" si="0"/>
        <v>#DIV/0!</v>
      </c>
      <c r="C7" s="1" t="e">
        <f t="shared" si="1"/>
        <v>#DIV/0!</v>
      </c>
      <c r="D7" s="1" t="e">
        <f t="shared" si="2"/>
        <v>#DIV/0!</v>
      </c>
      <c r="E7" s="1"/>
      <c r="F7" s="1"/>
      <c r="G7" s="1"/>
      <c r="H7" s="1"/>
      <c r="I7" s="1"/>
      <c r="J7" s="1"/>
      <c r="K7" s="1"/>
      <c r="L7" s="1" t="e">
        <f t="shared" si="3"/>
        <v>#DIV/0!</v>
      </c>
      <c r="Q7">
        <v>0.59299999999999997</v>
      </c>
    </row>
    <row r="8" spans="1:17" x14ac:dyDescent="0.25">
      <c r="A8" s="1"/>
      <c r="B8" s="1" t="e">
        <f t="shared" si="0"/>
        <v>#DIV/0!</v>
      </c>
      <c r="C8" s="1" t="e">
        <f t="shared" si="1"/>
        <v>#DIV/0!</v>
      </c>
      <c r="D8" s="1" t="e">
        <f t="shared" si="2"/>
        <v>#DIV/0!</v>
      </c>
      <c r="E8" s="1"/>
      <c r="F8" s="1"/>
      <c r="G8" s="1"/>
      <c r="H8" s="1"/>
      <c r="I8" s="1"/>
      <c r="J8" s="1"/>
      <c r="K8" s="1"/>
      <c r="L8" s="1" t="e">
        <f t="shared" si="3"/>
        <v>#DIV/0!</v>
      </c>
      <c r="M8" s="5" t="s">
        <v>22</v>
      </c>
    </row>
    <row r="9" spans="1:17" x14ac:dyDescent="0.25">
      <c r="A9" s="1"/>
      <c r="B9" s="1" t="e">
        <f t="shared" si="0"/>
        <v>#DIV/0!</v>
      </c>
      <c r="C9" s="1" t="e">
        <f t="shared" si="1"/>
        <v>#DIV/0!</v>
      </c>
      <c r="D9" s="1" t="e">
        <f t="shared" si="2"/>
        <v>#DIV/0!</v>
      </c>
      <c r="E9" s="1"/>
      <c r="F9" s="1"/>
      <c r="G9" s="1"/>
      <c r="H9" s="1"/>
      <c r="I9" s="1"/>
      <c r="J9" s="1"/>
      <c r="K9" s="1"/>
      <c r="L9" s="1" t="e">
        <f t="shared" si="3"/>
        <v>#DIV/0!</v>
      </c>
    </row>
    <row r="10" spans="1:17" x14ac:dyDescent="0.25">
      <c r="A10" s="1"/>
      <c r="B10" s="1" t="e">
        <f t="shared" si="0"/>
        <v>#DIV/0!</v>
      </c>
      <c r="C10" s="1" t="e">
        <f t="shared" si="1"/>
        <v>#DIV/0!</v>
      </c>
      <c r="D10" s="1" t="e">
        <f t="shared" si="2"/>
        <v>#DIV/0!</v>
      </c>
      <c r="E10" s="1"/>
      <c r="F10" s="1"/>
      <c r="G10" s="1"/>
      <c r="H10" s="1"/>
      <c r="I10" s="1"/>
      <c r="J10" s="1"/>
      <c r="K10" s="1"/>
      <c r="L10" s="1" t="e">
        <f t="shared" si="3"/>
        <v>#DIV/0!</v>
      </c>
    </row>
    <row r="11" spans="1:17" x14ac:dyDescent="0.25">
      <c r="A11" s="1"/>
      <c r="B11" s="1" t="e">
        <f t="shared" si="0"/>
        <v>#DIV/0!</v>
      </c>
      <c r="C11" s="1" t="e">
        <f t="shared" si="1"/>
        <v>#DIV/0!</v>
      </c>
      <c r="D11" s="1" t="e">
        <f t="shared" si="2"/>
        <v>#DIV/0!</v>
      </c>
      <c r="E11" s="1"/>
      <c r="F11" s="1"/>
      <c r="G11" s="1"/>
      <c r="H11" s="1"/>
      <c r="I11" s="1"/>
      <c r="J11" s="1"/>
      <c r="K11" s="1"/>
      <c r="L11" s="1" t="e">
        <f t="shared" si="3"/>
        <v>#DIV/0!</v>
      </c>
    </row>
    <row r="12" spans="1:17" x14ac:dyDescent="0.25">
      <c r="A12" s="1"/>
      <c r="B12" s="1" t="e">
        <f t="shared" si="0"/>
        <v>#DIV/0!</v>
      </c>
      <c r="C12" s="1" t="e">
        <f t="shared" si="1"/>
        <v>#DIV/0!</v>
      </c>
      <c r="D12" s="1" t="e">
        <f t="shared" si="2"/>
        <v>#DIV/0!</v>
      </c>
      <c r="E12" s="1"/>
      <c r="F12" s="1"/>
      <c r="G12" s="1"/>
      <c r="H12" s="1"/>
      <c r="I12" s="1"/>
      <c r="J12" s="1"/>
      <c r="K12" s="1"/>
      <c r="L12" s="1" t="e">
        <f t="shared" si="3"/>
        <v>#DIV/0!</v>
      </c>
    </row>
    <row r="13" spans="1:17" x14ac:dyDescent="0.25">
      <c r="A13" s="1"/>
      <c r="B13" s="1" t="e">
        <f t="shared" si="0"/>
        <v>#DIV/0!</v>
      </c>
      <c r="C13" s="1" t="e">
        <f t="shared" si="1"/>
        <v>#DIV/0!</v>
      </c>
      <c r="D13" s="1" t="e">
        <f t="shared" si="2"/>
        <v>#DIV/0!</v>
      </c>
      <c r="E13" s="1"/>
      <c r="F13" s="1"/>
      <c r="G13" s="1"/>
      <c r="H13" s="1"/>
      <c r="I13" s="1"/>
      <c r="J13" s="1"/>
      <c r="K13" s="1"/>
      <c r="L13" s="1" t="e">
        <f t="shared" si="3"/>
        <v>#DIV/0!</v>
      </c>
    </row>
    <row r="14" spans="1:17" x14ac:dyDescent="0.25">
      <c r="A14" s="1"/>
      <c r="B14" s="1" t="e">
        <f t="shared" si="0"/>
        <v>#DIV/0!</v>
      </c>
      <c r="C14" s="1" t="e">
        <f t="shared" si="1"/>
        <v>#DIV/0!</v>
      </c>
      <c r="D14" s="1" t="e">
        <f t="shared" si="2"/>
        <v>#DIV/0!</v>
      </c>
      <c r="E14" s="1"/>
      <c r="F14" s="1"/>
      <c r="G14" s="1"/>
      <c r="H14" s="1"/>
      <c r="I14" s="1"/>
      <c r="J14" s="1"/>
      <c r="K14" s="1"/>
      <c r="L14" s="1" t="e">
        <f t="shared" si="3"/>
        <v>#DIV/0!</v>
      </c>
    </row>
    <row r="15" spans="1:17" x14ac:dyDescent="0.25">
      <c r="A15" s="1"/>
      <c r="B15" s="1" t="e">
        <f t="shared" si="0"/>
        <v>#DIV/0!</v>
      </c>
      <c r="C15" s="1" t="e">
        <f t="shared" si="1"/>
        <v>#DIV/0!</v>
      </c>
      <c r="D15" s="1" t="e">
        <f t="shared" si="2"/>
        <v>#DIV/0!</v>
      </c>
      <c r="E15" s="1"/>
      <c r="F15" s="1"/>
      <c r="G15" s="1"/>
      <c r="H15" s="1"/>
      <c r="I15" s="1"/>
      <c r="J15" s="1"/>
      <c r="K15" s="1"/>
      <c r="L15" s="1" t="e">
        <f t="shared" si="3"/>
        <v>#DIV/0!</v>
      </c>
    </row>
    <row r="16" spans="1:17" x14ac:dyDescent="0.25">
      <c r="A16" s="1"/>
      <c r="B16" s="1" t="e">
        <f t="shared" si="0"/>
        <v>#DIV/0!</v>
      </c>
      <c r="C16" s="1" t="e">
        <f t="shared" si="1"/>
        <v>#DIV/0!</v>
      </c>
      <c r="D16" s="1" t="e">
        <f t="shared" si="2"/>
        <v>#DIV/0!</v>
      </c>
      <c r="E16" s="1"/>
      <c r="F16" s="1"/>
      <c r="G16" s="1"/>
      <c r="H16" s="1"/>
      <c r="I16" s="1"/>
      <c r="J16" s="1"/>
      <c r="K16" s="1"/>
      <c r="L16" s="1" t="e">
        <f t="shared" si="3"/>
        <v>#DIV/0!</v>
      </c>
    </row>
    <row r="17" spans="1:12" x14ac:dyDescent="0.25">
      <c r="A17" s="1"/>
      <c r="B17" s="1" t="e">
        <f t="shared" si="0"/>
        <v>#DIV/0!</v>
      </c>
      <c r="C17" s="1" t="e">
        <f t="shared" si="1"/>
        <v>#DIV/0!</v>
      </c>
      <c r="D17" s="1" t="e">
        <f t="shared" si="2"/>
        <v>#DIV/0!</v>
      </c>
      <c r="E17" s="1"/>
      <c r="F17" s="1"/>
      <c r="G17" s="1"/>
      <c r="H17" s="1"/>
      <c r="I17" s="1"/>
      <c r="J17" s="1"/>
      <c r="K17" s="1"/>
      <c r="L17" s="1" t="e">
        <f t="shared" si="3"/>
        <v>#DIV/0!</v>
      </c>
    </row>
    <row r="18" spans="1:12" x14ac:dyDescent="0.25">
      <c r="A18" s="1"/>
      <c r="B18" s="1" t="e">
        <f t="shared" si="0"/>
        <v>#DIV/0!</v>
      </c>
      <c r="C18" s="1" t="e">
        <f t="shared" si="1"/>
        <v>#DIV/0!</v>
      </c>
      <c r="D18" s="1" t="e">
        <f t="shared" si="2"/>
        <v>#DIV/0!</v>
      </c>
      <c r="E18" s="1"/>
      <c r="F18" s="1"/>
      <c r="G18" s="1"/>
      <c r="H18" s="1"/>
      <c r="I18" s="1"/>
      <c r="J18" s="1"/>
      <c r="K18" s="1"/>
      <c r="L18" s="1" t="e">
        <f t="shared" si="3"/>
        <v>#DIV/0!</v>
      </c>
    </row>
    <row r="19" spans="1:12" x14ac:dyDescent="0.25">
      <c r="A19" s="1"/>
      <c r="B19" s="1" t="e">
        <f t="shared" si="0"/>
        <v>#DIV/0!</v>
      </c>
      <c r="C19" s="1" t="e">
        <f t="shared" si="1"/>
        <v>#DIV/0!</v>
      </c>
      <c r="D19" s="1" t="e">
        <f t="shared" si="2"/>
        <v>#DIV/0!</v>
      </c>
      <c r="E19" s="1"/>
      <c r="F19" s="1"/>
      <c r="G19" s="1"/>
      <c r="H19" s="1"/>
      <c r="I19" s="1"/>
      <c r="J19" s="1"/>
      <c r="K19" s="1"/>
      <c r="L19" s="1" t="e">
        <f t="shared" si="3"/>
        <v>#DIV/0!</v>
      </c>
    </row>
    <row r="20" spans="1:12" x14ac:dyDescent="0.25">
      <c r="A20" s="1"/>
      <c r="B20" s="1" t="e">
        <f t="shared" si="0"/>
        <v>#DIV/0!</v>
      </c>
      <c r="C20" s="1" t="e">
        <f t="shared" si="1"/>
        <v>#DIV/0!</v>
      </c>
      <c r="D20" s="1" t="e">
        <f t="shared" si="2"/>
        <v>#DIV/0!</v>
      </c>
      <c r="E20" s="1"/>
      <c r="F20" s="1"/>
      <c r="G20" s="1"/>
      <c r="H20" s="1"/>
      <c r="I20" s="1"/>
      <c r="J20" s="1"/>
      <c r="K20" s="1"/>
      <c r="L20" s="1" t="e">
        <f t="shared" si="3"/>
        <v>#DIV/0!</v>
      </c>
    </row>
    <row r="21" spans="1:12" x14ac:dyDescent="0.25">
      <c r="A21" s="1"/>
      <c r="B21" s="1" t="e">
        <f t="shared" si="0"/>
        <v>#DIV/0!</v>
      </c>
      <c r="C21" s="1" t="e">
        <f t="shared" si="1"/>
        <v>#DIV/0!</v>
      </c>
      <c r="D21" s="1" t="e">
        <f t="shared" si="2"/>
        <v>#DIV/0!</v>
      </c>
      <c r="E21" s="1"/>
      <c r="F21" s="1"/>
      <c r="G21" s="1"/>
      <c r="H21" s="1"/>
      <c r="I21" s="1"/>
      <c r="J21" s="1"/>
      <c r="K21" s="1"/>
      <c r="L21" s="1" t="e">
        <f t="shared" si="3"/>
        <v>#DIV/0!</v>
      </c>
    </row>
    <row r="22" spans="1:12" x14ac:dyDescent="0.25">
      <c r="L22" s="1"/>
    </row>
    <row r="23" spans="1:12" x14ac:dyDescent="0.25">
      <c r="B23" s="5" t="s">
        <v>19</v>
      </c>
      <c r="E23" t="s">
        <v>13</v>
      </c>
      <c r="G23" t="s">
        <v>14</v>
      </c>
    </row>
    <row r="24" spans="1:12" x14ac:dyDescent="0.25">
      <c r="B24" t="s">
        <v>18</v>
      </c>
    </row>
    <row r="25" spans="1:12" x14ac:dyDescent="0.25">
      <c r="G25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Maceda</dc:creator>
  <cp:lastModifiedBy>Mary Maceda</cp:lastModifiedBy>
  <dcterms:created xsi:type="dcterms:W3CDTF">2025-02-24T17:25:08Z</dcterms:created>
  <dcterms:modified xsi:type="dcterms:W3CDTF">2025-02-24T18:42:32Z</dcterms:modified>
</cp:coreProperties>
</file>